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ats\"/>
    </mc:Choice>
  </mc:AlternateContent>
  <xr:revisionPtr revIDLastSave="0" documentId="13_ncr:1_{951CB398-9DC4-44AC-A8FB-042C55744127}" xr6:coauthVersionLast="47" xr6:coauthVersionMax="47" xr10:uidLastSave="{00000000-0000-0000-0000-000000000000}"/>
  <bookViews>
    <workbookView xWindow="-108" yWindow="-108" windowWidth="23256" windowHeight="13176" xr2:uid="{CAEC746A-0422-4911-AE3D-D9D6437B54CB}"/>
  </bookViews>
  <sheets>
    <sheet name="Q3)" sheetId="1" r:id="rId1"/>
    <sheet name="Q4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D17" i="2"/>
  <c r="D16" i="2"/>
  <c r="B13" i="2"/>
  <c r="D15" i="2"/>
  <c r="F13" i="2"/>
  <c r="D13" i="2"/>
  <c r="F5" i="2"/>
  <c r="F6" i="2"/>
  <c r="F7" i="2"/>
  <c r="F8" i="2"/>
  <c r="F9" i="2"/>
  <c r="F10" i="2"/>
  <c r="F11" i="2"/>
  <c r="F4" i="2"/>
  <c r="E5" i="2"/>
  <c r="E6" i="2"/>
  <c r="E7" i="2"/>
  <c r="E8" i="2"/>
  <c r="E9" i="2"/>
  <c r="E10" i="2"/>
  <c r="E11" i="2"/>
  <c r="E4" i="2"/>
  <c r="D11" i="2"/>
  <c r="D5" i="2"/>
  <c r="D6" i="2"/>
  <c r="D7" i="2"/>
  <c r="D8" i="2"/>
  <c r="D9" i="2"/>
  <c r="D10" i="2"/>
  <c r="D4" i="2"/>
  <c r="F24" i="1"/>
  <c r="F23" i="1"/>
  <c r="F22" i="1"/>
  <c r="F21" i="1"/>
  <c r="G18" i="1"/>
  <c r="G9" i="1"/>
  <c r="G10" i="1"/>
  <c r="G11" i="1"/>
  <c r="G12" i="1"/>
  <c r="G13" i="1"/>
  <c r="G14" i="1"/>
  <c r="G15" i="1"/>
  <c r="G16" i="1"/>
  <c r="G7" i="1"/>
  <c r="F8" i="1"/>
  <c r="F9" i="1"/>
  <c r="F10" i="1"/>
  <c r="F11" i="1"/>
  <c r="F12" i="1"/>
  <c r="F13" i="1"/>
  <c r="F14" i="1"/>
  <c r="F15" i="1"/>
  <c r="F16" i="1"/>
  <c r="F7" i="1"/>
  <c r="E8" i="1"/>
  <c r="E9" i="1"/>
  <c r="E10" i="1"/>
  <c r="E11" i="1"/>
  <c r="E12" i="1"/>
  <c r="E13" i="1"/>
  <c r="E14" i="1"/>
  <c r="E15" i="1"/>
  <c r="E16" i="1"/>
  <c r="E7" i="1"/>
  <c r="D19" i="1"/>
  <c r="D8" i="1"/>
  <c r="D9" i="1"/>
  <c r="D10" i="1"/>
  <c r="D11" i="1"/>
  <c r="D12" i="1"/>
  <c r="D13" i="1"/>
  <c r="D14" i="1"/>
  <c r="D15" i="1"/>
  <c r="D16" i="1"/>
  <c r="D7" i="1"/>
  <c r="C8" i="1"/>
  <c r="C9" i="1"/>
  <c r="C10" i="1"/>
  <c r="C11" i="1"/>
  <c r="C12" i="1"/>
  <c r="C13" i="1"/>
  <c r="C14" i="1"/>
  <c r="C15" i="1"/>
  <c r="C16" i="1"/>
  <c r="C7" i="1"/>
  <c r="B18" i="1"/>
</calcChain>
</file>

<file path=xl/sharedStrings.xml><?xml version="1.0" encoding="utf-8"?>
<sst xmlns="http://schemas.openxmlformats.org/spreadsheetml/2006/main" count="39" uniqueCount="34">
  <si>
    <t>Assignment no.2: Population and Sample Spread without using Built-in Functions of Excel</t>
  </si>
  <si>
    <t>Q3) Create a hypothetical data set of 10 groups with their relative frequencies. Present the formulas for population variance, sample variance, population std.dev. and sample std.dev. Without using built-in formula in excel compute each of the estimates.</t>
  </si>
  <si>
    <t>Group Value (x)</t>
  </si>
  <si>
    <t>Frequency (f)</t>
  </si>
  <si>
    <t xml:space="preserve">Relative Frequency </t>
  </si>
  <si>
    <t>fx</t>
  </si>
  <si>
    <t>mean</t>
  </si>
  <si>
    <t>x − x̄</t>
  </si>
  <si>
    <t>(x − x̄)²</t>
  </si>
  <si>
    <t>f(x − x̄)²</t>
  </si>
  <si>
    <t>SUM</t>
  </si>
  <si>
    <t xml:space="preserve">population variance </t>
  </si>
  <si>
    <t>sample variance</t>
  </si>
  <si>
    <t>population std dev</t>
  </si>
  <si>
    <t>sample std dev</t>
  </si>
  <si>
    <t>Variance and standard deviation were computed manually in Excel without using built-in functions. The sample estimates are slightly higher than population estimates due to degrees of freedom adjustment.</t>
  </si>
  <si>
    <t>conclusion:</t>
  </si>
  <si>
    <t>sum</t>
  </si>
  <si>
    <t>Q4) Find the variance and standard deviation. The costs per load (in cents) of 35 laundry detergents tested by a consumer organization are shown here.</t>
  </si>
  <si>
    <t>Class limits</t>
  </si>
  <si>
    <t>13–19</t>
  </si>
  <si>
    <t>20–26</t>
  </si>
  <si>
    <t>27–33</t>
  </si>
  <si>
    <t>34–40</t>
  </si>
  <si>
    <t>41–47</t>
  </si>
  <si>
    <t>48–54</t>
  </si>
  <si>
    <t>55–61</t>
  </si>
  <si>
    <t>62–68</t>
  </si>
  <si>
    <t>X</t>
  </si>
  <si>
    <t>x²</t>
  </si>
  <si>
    <t>fx²</t>
  </si>
  <si>
    <t>variance</t>
  </si>
  <si>
    <t>std dev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</si>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</sst>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/>
    <xf numFmtId="0" fontId="6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EFEA4-4790-4947-B842-728BD6C8B17C}">
  <dimension ref="A1:G29"/>
  <sheetViews>
    <sheetView tabSelected="1" topLeftCell="A4" workbookViewId="0">
      <selection activeCell="G9" sqref="G9"/>
    </sheetView>
  </sheetViews>
  <sheetFormatPr defaultRowHeight="14.4" x14ac:dyDescent="0.3"/>
  <cols>
    <col min="3" max="3" width="17.6640625" customWidth="1"/>
    <col min="5" max="5" width="16.88671875" customWidth="1"/>
  </cols>
  <sheetData>
    <row r="1" spans="1:7" ht="31.2" x14ac:dyDescent="0.6">
      <c r="A1" s="2" t="s">
        <v>0</v>
      </c>
    </row>
    <row r="3" spans="1:7" ht="21" x14ac:dyDescent="0.4">
      <c r="A3" s="3" t="s">
        <v>1</v>
      </c>
    </row>
    <row r="6" spans="1:7" ht="46.8" x14ac:dyDescent="0.3">
      <c r="A6" s="5" t="s">
        <v>2</v>
      </c>
      <c r="B6" s="5" t="s">
        <v>3</v>
      </c>
      <c r="C6" s="1" t="s">
        <v>4</v>
      </c>
      <c r="D6" s="1" t="s">
        <v>5</v>
      </c>
      <c r="E6" s="4" t="s">
        <v>7</v>
      </c>
      <c r="F6" s="1" t="s">
        <v>8</v>
      </c>
      <c r="G6" s="1" t="s">
        <v>9</v>
      </c>
    </row>
    <row r="7" spans="1:7" ht="15.6" x14ac:dyDescent="0.3">
      <c r="A7" s="6">
        <v>5</v>
      </c>
      <c r="B7" s="6">
        <v>3</v>
      </c>
      <c r="C7">
        <f>B7/$B$18</f>
        <v>7.4999999999999997E-2</v>
      </c>
      <c r="D7">
        <f>A7*B7</f>
        <v>15</v>
      </c>
      <c r="E7" s="7">
        <f>A7-$D$19</f>
        <v>-19.375</v>
      </c>
      <c r="F7">
        <f>E7^2</f>
        <v>375.390625</v>
      </c>
      <c r="G7">
        <f>B7*F7</f>
        <v>1126.171875</v>
      </c>
    </row>
    <row r="8" spans="1:7" ht="15.6" x14ac:dyDescent="0.3">
      <c r="A8" s="6">
        <v>10</v>
      </c>
      <c r="B8" s="6">
        <v>5</v>
      </c>
      <c r="C8">
        <f t="shared" ref="C8:C16" si="0">B8/$B$18</f>
        <v>0.125</v>
      </c>
      <c r="D8">
        <f t="shared" ref="D8:D16" si="1">A8*B8</f>
        <v>50</v>
      </c>
      <c r="E8" s="7">
        <f t="shared" ref="E8:E16" si="2">A8-$D$19</f>
        <v>-14.375</v>
      </c>
      <c r="F8">
        <f t="shared" ref="F8:F16" si="3">E8^2</f>
        <v>206.640625</v>
      </c>
      <c r="G8">
        <f>B8*F8</f>
        <v>1033.203125</v>
      </c>
    </row>
    <row r="9" spans="1:7" ht="15.6" x14ac:dyDescent="0.3">
      <c r="A9" s="6">
        <v>15</v>
      </c>
      <c r="B9" s="6">
        <v>4</v>
      </c>
      <c r="C9">
        <f t="shared" si="0"/>
        <v>0.1</v>
      </c>
      <c r="D9">
        <f t="shared" si="1"/>
        <v>60</v>
      </c>
      <c r="E9" s="7">
        <f t="shared" si="2"/>
        <v>-9.375</v>
      </c>
      <c r="F9">
        <f t="shared" si="3"/>
        <v>87.890625</v>
      </c>
      <c r="G9">
        <f t="shared" ref="G8:G16" si="4">B9*F9</f>
        <v>351.5625</v>
      </c>
    </row>
    <row r="10" spans="1:7" ht="15.6" x14ac:dyDescent="0.3">
      <c r="A10" s="6">
        <v>20</v>
      </c>
      <c r="B10" s="6">
        <v>6</v>
      </c>
      <c r="C10">
        <f t="shared" si="0"/>
        <v>0.15</v>
      </c>
      <c r="D10">
        <f t="shared" si="1"/>
        <v>120</v>
      </c>
      <c r="E10" s="7">
        <f t="shared" si="2"/>
        <v>-4.375</v>
      </c>
      <c r="F10">
        <f t="shared" si="3"/>
        <v>19.140625</v>
      </c>
      <c r="G10">
        <f t="shared" si="4"/>
        <v>114.84375</v>
      </c>
    </row>
    <row r="11" spans="1:7" ht="15.6" x14ac:dyDescent="0.3">
      <c r="A11" s="6">
        <v>25</v>
      </c>
      <c r="B11" s="6">
        <v>7</v>
      </c>
      <c r="C11">
        <f t="shared" si="0"/>
        <v>0.17499999999999999</v>
      </c>
      <c r="D11">
        <f t="shared" si="1"/>
        <v>175</v>
      </c>
      <c r="E11" s="7">
        <f t="shared" si="2"/>
        <v>0.625</v>
      </c>
      <c r="F11">
        <f t="shared" si="3"/>
        <v>0.390625</v>
      </c>
      <c r="G11">
        <f t="shared" si="4"/>
        <v>2.734375</v>
      </c>
    </row>
    <row r="12" spans="1:7" ht="15.6" x14ac:dyDescent="0.3">
      <c r="A12" s="6">
        <v>30</v>
      </c>
      <c r="B12" s="6">
        <v>5</v>
      </c>
      <c r="C12">
        <f t="shared" si="0"/>
        <v>0.125</v>
      </c>
      <c r="D12">
        <f t="shared" si="1"/>
        <v>150</v>
      </c>
      <c r="E12" s="7">
        <f t="shared" si="2"/>
        <v>5.625</v>
      </c>
      <c r="F12">
        <f t="shared" si="3"/>
        <v>31.640625</v>
      </c>
      <c r="G12">
        <f t="shared" si="4"/>
        <v>158.203125</v>
      </c>
    </row>
    <row r="13" spans="1:7" ht="15.6" x14ac:dyDescent="0.3">
      <c r="A13" s="6">
        <v>35</v>
      </c>
      <c r="B13" s="6">
        <v>3</v>
      </c>
      <c r="C13">
        <f t="shared" si="0"/>
        <v>7.4999999999999997E-2</v>
      </c>
      <c r="D13">
        <f t="shared" si="1"/>
        <v>105</v>
      </c>
      <c r="E13" s="7">
        <f t="shared" si="2"/>
        <v>10.625</v>
      </c>
      <c r="F13">
        <f t="shared" si="3"/>
        <v>112.890625</v>
      </c>
      <c r="G13">
        <f t="shared" si="4"/>
        <v>338.671875</v>
      </c>
    </row>
    <row r="14" spans="1:7" ht="15.6" x14ac:dyDescent="0.3">
      <c r="A14" s="6">
        <v>40</v>
      </c>
      <c r="B14" s="6">
        <v>4</v>
      </c>
      <c r="C14">
        <f t="shared" si="0"/>
        <v>0.1</v>
      </c>
      <c r="D14">
        <f t="shared" si="1"/>
        <v>160</v>
      </c>
      <c r="E14" s="7">
        <f t="shared" si="2"/>
        <v>15.625</v>
      </c>
      <c r="F14">
        <f t="shared" si="3"/>
        <v>244.140625</v>
      </c>
      <c r="G14">
        <f t="shared" si="4"/>
        <v>976.5625</v>
      </c>
    </row>
    <row r="15" spans="1:7" ht="15.6" x14ac:dyDescent="0.3">
      <c r="A15" s="6">
        <v>45</v>
      </c>
      <c r="B15" s="6">
        <v>2</v>
      </c>
      <c r="C15">
        <f t="shared" si="0"/>
        <v>0.05</v>
      </c>
      <c r="D15">
        <f t="shared" si="1"/>
        <v>90</v>
      </c>
      <c r="E15" s="7">
        <f t="shared" si="2"/>
        <v>20.625</v>
      </c>
      <c r="F15">
        <f t="shared" si="3"/>
        <v>425.390625</v>
      </c>
      <c r="G15">
        <f t="shared" si="4"/>
        <v>850.78125</v>
      </c>
    </row>
    <row r="16" spans="1:7" ht="15.6" x14ac:dyDescent="0.3">
      <c r="A16" s="6">
        <v>50</v>
      </c>
      <c r="B16" s="6">
        <v>1</v>
      </c>
      <c r="C16">
        <f t="shared" si="0"/>
        <v>2.5000000000000001E-2</v>
      </c>
      <c r="D16">
        <f t="shared" si="1"/>
        <v>50</v>
      </c>
      <c r="E16" s="7">
        <f t="shared" si="2"/>
        <v>25.625</v>
      </c>
      <c r="F16">
        <f t="shared" si="3"/>
        <v>656.640625</v>
      </c>
      <c r="G16">
        <f t="shared" si="4"/>
        <v>656.640625</v>
      </c>
    </row>
    <row r="18" spans="1:7" x14ac:dyDescent="0.3">
      <c r="A18" s="1" t="s">
        <v>17</v>
      </c>
      <c r="B18">
        <f>SUM(B7:B16)</f>
        <v>40</v>
      </c>
      <c r="F18" s="1" t="s">
        <v>10</v>
      </c>
      <c r="G18">
        <f>SUM(G7:G16)</f>
        <v>5609.375</v>
      </c>
    </row>
    <row r="19" spans="1:7" x14ac:dyDescent="0.3">
      <c r="C19" s="1" t="s">
        <v>6</v>
      </c>
      <c r="D19">
        <f>SUM(D7:D16)/SUM(B7:B16)</f>
        <v>24.375</v>
      </c>
    </row>
    <row r="21" spans="1:7" x14ac:dyDescent="0.3">
      <c r="E21" s="1" t="s">
        <v>11</v>
      </c>
      <c r="F21">
        <f>G18/B18</f>
        <v>140.234375</v>
      </c>
    </row>
    <row r="22" spans="1:7" x14ac:dyDescent="0.3">
      <c r="E22" s="1" t="s">
        <v>12</v>
      </c>
      <c r="F22">
        <f>G18/(B18-1)</f>
        <v>143.8301282051282</v>
      </c>
    </row>
    <row r="23" spans="1:7" x14ac:dyDescent="0.3">
      <c r="E23" s="1" t="s">
        <v>13</v>
      </c>
      <c r="F23">
        <f>SQRT(F21)</f>
        <v>11.842059575935261</v>
      </c>
    </row>
    <row r="24" spans="1:7" x14ac:dyDescent="0.3">
      <c r="E24" s="1" t="s">
        <v>14</v>
      </c>
      <c r="F24">
        <f>SQRT(F22)</f>
        <v>11.99291991989975</v>
      </c>
    </row>
    <row r="27" spans="1:7" ht="25.8" x14ac:dyDescent="0.5">
      <c r="A27" s="8" t="s">
        <v>16</v>
      </c>
    </row>
    <row r="29" spans="1:7" ht="21" x14ac:dyDescent="0.4">
      <c r="B29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2BC11-7707-4776-ABC6-BE2E15638E3A}">
  <dimension ref="A1:F17"/>
  <sheetViews>
    <sheetView topLeftCell="A6" workbookViewId="0">
      <selection activeCell="F3" sqref="F3"/>
    </sheetView>
  </sheetViews>
  <sheetFormatPr defaultRowHeight="14.4" x14ac:dyDescent="0.3"/>
  <sheetData>
    <row r="1" spans="1:6" ht="23.4" x14ac:dyDescent="0.45">
      <c r="A1" s="9" t="s">
        <v>18</v>
      </c>
    </row>
    <row r="3" spans="1:6" ht="36" x14ac:dyDescent="0.35">
      <c r="A3" s="10" t="s">
        <v>19</v>
      </c>
      <c r="B3" s="10" t="s">
        <v>3</v>
      </c>
      <c r="C3" s="12" t="s">
        <v>28</v>
      </c>
      <c r="D3" s="1" t="s">
        <v>5</v>
      </c>
      <c r="E3" s="1" t="s">
        <v>29</v>
      </c>
      <c r="F3" s="1" t="s">
        <v>30</v>
      </c>
    </row>
    <row r="4" spans="1:6" ht="18" x14ac:dyDescent="0.3">
      <c r="A4" s="11" t="s">
        <v>20</v>
      </c>
      <c r="B4" s="11">
        <v>2</v>
      </c>
      <c r="C4">
        <v>16</v>
      </c>
      <c r="D4">
        <f>B4*C4</f>
        <v>32</v>
      </c>
      <c r="E4">
        <f>C4^2</f>
        <v>256</v>
      </c>
      <c r="F4">
        <f>B4*E4</f>
        <v>512</v>
      </c>
    </row>
    <row r="5" spans="1:6" ht="18" x14ac:dyDescent="0.3">
      <c r="A5" s="11" t="s">
        <v>21</v>
      </c>
      <c r="B5" s="11">
        <v>7</v>
      </c>
      <c r="C5">
        <v>23</v>
      </c>
      <c r="D5">
        <f t="shared" ref="D5:D10" si="0">B5*C5</f>
        <v>161</v>
      </c>
      <c r="E5">
        <f t="shared" ref="E5:E11" si="1">C5^2</f>
        <v>529</v>
      </c>
      <c r="F5">
        <f t="shared" ref="F5:F11" si="2">B5*E5</f>
        <v>3703</v>
      </c>
    </row>
    <row r="6" spans="1:6" ht="18" x14ac:dyDescent="0.3">
      <c r="A6" s="11" t="s">
        <v>22</v>
      </c>
      <c r="B6" s="11">
        <v>12</v>
      </c>
      <c r="C6">
        <v>30</v>
      </c>
      <c r="D6">
        <f t="shared" si="0"/>
        <v>360</v>
      </c>
      <c r="E6">
        <f t="shared" si="1"/>
        <v>900</v>
      </c>
      <c r="F6">
        <f t="shared" si="2"/>
        <v>10800</v>
      </c>
    </row>
    <row r="7" spans="1:6" ht="18" x14ac:dyDescent="0.3">
      <c r="A7" s="11" t="s">
        <v>23</v>
      </c>
      <c r="B7" s="11">
        <v>5</v>
      </c>
      <c r="C7">
        <v>37</v>
      </c>
      <c r="D7">
        <f t="shared" si="0"/>
        <v>185</v>
      </c>
      <c r="E7">
        <f t="shared" si="1"/>
        <v>1369</v>
      </c>
      <c r="F7">
        <f t="shared" si="2"/>
        <v>6845</v>
      </c>
    </row>
    <row r="8" spans="1:6" ht="18" x14ac:dyDescent="0.3">
      <c r="A8" s="11" t="s">
        <v>24</v>
      </c>
      <c r="B8" s="11">
        <v>6</v>
      </c>
      <c r="C8">
        <v>44</v>
      </c>
      <c r="D8">
        <f t="shared" si="0"/>
        <v>264</v>
      </c>
      <c r="E8">
        <f t="shared" si="1"/>
        <v>1936</v>
      </c>
      <c r="F8">
        <f t="shared" si="2"/>
        <v>11616</v>
      </c>
    </row>
    <row r="9" spans="1:6" ht="18" x14ac:dyDescent="0.3">
      <c r="A9" s="11" t="s">
        <v>25</v>
      </c>
      <c r="B9" s="11">
        <v>1</v>
      </c>
      <c r="C9">
        <v>51</v>
      </c>
      <c r="D9">
        <f t="shared" si="0"/>
        <v>51</v>
      </c>
      <c r="E9">
        <f t="shared" si="1"/>
        <v>2601</v>
      </c>
      <c r="F9">
        <f t="shared" si="2"/>
        <v>2601</v>
      </c>
    </row>
    <row r="10" spans="1:6" ht="18" x14ac:dyDescent="0.3">
      <c r="A10" s="11" t="s">
        <v>26</v>
      </c>
      <c r="B10" s="11">
        <v>0</v>
      </c>
      <c r="C10">
        <v>58</v>
      </c>
      <c r="D10">
        <f t="shared" si="0"/>
        <v>0</v>
      </c>
      <c r="E10">
        <f t="shared" si="1"/>
        <v>3364</v>
      </c>
      <c r="F10">
        <f t="shared" si="2"/>
        <v>0</v>
      </c>
    </row>
    <row r="11" spans="1:6" ht="18" x14ac:dyDescent="0.3">
      <c r="A11" s="11" t="s">
        <v>27</v>
      </c>
      <c r="B11" s="11">
        <v>2</v>
      </c>
      <c r="C11">
        <v>65</v>
      </c>
      <c r="D11">
        <f>B11*C11</f>
        <v>130</v>
      </c>
      <c r="E11">
        <f t="shared" si="1"/>
        <v>4225</v>
      </c>
      <c r="F11">
        <f t="shared" si="2"/>
        <v>8450</v>
      </c>
    </row>
    <row r="13" spans="1:6" x14ac:dyDescent="0.3">
      <c r="A13" s="1" t="s">
        <v>17</v>
      </c>
      <c r="B13">
        <f>SUM(B4:B11)</f>
        <v>35</v>
      </c>
      <c r="C13" s="1" t="s">
        <v>33</v>
      </c>
      <c r="D13">
        <f>SUM(D4:D11)</f>
        <v>1183</v>
      </c>
      <c r="E13" s="1" t="s">
        <v>33</v>
      </c>
      <c r="F13">
        <f>SUM(F4:F11)</f>
        <v>44527</v>
      </c>
    </row>
    <row r="15" spans="1:6" ht="15.6" x14ac:dyDescent="0.3">
      <c r="C15" s="13" t="s">
        <v>6</v>
      </c>
      <c r="D15" s="13">
        <f>D13/35</f>
        <v>33.799999999999997</v>
      </c>
    </row>
    <row r="16" spans="1:6" ht="15.6" x14ac:dyDescent="0.3">
      <c r="C16" s="13" t="s">
        <v>31</v>
      </c>
      <c r="D16" s="13">
        <f>(F13/B13)-(D15^2)</f>
        <v>129.76000000000022</v>
      </c>
    </row>
    <row r="17" spans="3:4" ht="15.6" x14ac:dyDescent="0.3">
      <c r="C17" s="13" t="s">
        <v>32</v>
      </c>
      <c r="D17" s="13">
        <f>SQRT(D16)</f>
        <v>11.391224692718524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Q3)</vt:lpstr>
      <vt:lpstr>Q4)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 panorekar</cp:lastModifiedBy>
  <dcterms:created xsi:type="dcterms:W3CDTF">2026-01-13T08:48:40Z</dcterms:created>
  <dcterms:modified xsi:type="dcterms:W3CDTF">2026-01-22T05:07:29Z</dcterms:modified>
</cp:coreProperties>
</file>