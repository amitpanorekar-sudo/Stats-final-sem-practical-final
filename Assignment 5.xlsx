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s\"/>
    </mc:Choice>
  </mc:AlternateContent>
  <xr:revisionPtr revIDLastSave="0" documentId="13_ncr:1_{8FC83B21-ED0F-49A8-B40F-902BB15D0583}" xr6:coauthVersionLast="47" xr6:coauthVersionMax="47" xr10:uidLastSave="{00000000-0000-0000-0000-000000000000}"/>
  <bookViews>
    <workbookView xWindow="2688" yWindow="2688" windowWidth="17280" windowHeight="9420" xr2:uid="{262EFF4E-CE8D-43F2-8B90-195D4B984C7F}"/>
  </bookViews>
  <sheets>
    <sheet name="Q3)" sheetId="1" r:id="rId1"/>
    <sheet name="Q4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13" i="2"/>
  <c r="E10" i="2"/>
  <c r="E5" i="2"/>
  <c r="E6" i="2"/>
  <c r="E7" i="2"/>
  <c r="E8" i="2"/>
  <c r="E4" i="2"/>
  <c r="D5" i="2"/>
  <c r="D6" i="2"/>
  <c r="D7" i="2"/>
  <c r="D8" i="2"/>
  <c r="C5" i="2"/>
  <c r="C6" i="2"/>
  <c r="C7" i="2"/>
  <c r="C8" i="2"/>
  <c r="D4" i="2"/>
  <c r="C4" i="2"/>
  <c r="B10" i="2"/>
  <c r="A10" i="2"/>
  <c r="B14" i="2"/>
  <c r="B13" i="2"/>
  <c r="E9" i="1"/>
  <c r="E7" i="1"/>
</calcChain>
</file>

<file path=xl/sharedStrings.xml><?xml version="1.0" encoding="utf-8"?>
<sst xmlns="http://schemas.openxmlformats.org/spreadsheetml/2006/main" count="34" uniqueCount="29">
  <si>
    <t>Assignment no.5: Covariance and Correlation in Excel</t>
  </si>
  <si>
    <t>Q3) Compute Covariance and Correlation in Excel using hypothetical data and inbuilt formula and hence interpret the results</t>
  </si>
  <si>
    <t>X (Hours Studied)</t>
  </si>
  <si>
    <t>Y (Marks Obtained)</t>
  </si>
  <si>
    <t>Covariance</t>
  </si>
  <si>
    <t>Covariance:</t>
  </si>
  <si>
    <t>Correlation:</t>
  </si>
  <si>
    <t>Results</t>
  </si>
  <si>
    <r>
      <t>Covariance</t>
    </r>
    <r>
      <rPr>
        <sz val="16"/>
        <color theme="1"/>
        <rFont val="Aptos Narrow"/>
        <family val="2"/>
        <scheme val="minor"/>
      </rPr>
      <t xml:space="preserve"> → Positive value</t>
    </r>
  </si>
  <si>
    <r>
      <t>Correlation coefficient (r)</t>
    </r>
    <r>
      <rPr>
        <sz val="16"/>
        <color theme="1"/>
        <rFont val="Aptos Narrow"/>
        <family val="2"/>
        <scheme val="minor"/>
      </rPr>
      <t xml:space="preserve"> → Close to </t>
    </r>
    <r>
      <rPr>
        <b/>
        <sz val="16"/>
        <color theme="1"/>
        <rFont val="Aptos Narrow"/>
        <family val="2"/>
        <scheme val="minor"/>
      </rPr>
      <t>+1</t>
    </r>
  </si>
  <si>
    <t>Interpretation</t>
  </si>
  <si>
    <t>The covariance value is positive, indicating that both variables move in the same direction.</t>
  </si>
  <si>
    <r>
      <t xml:space="preserve">The correlation coefficient is close to +1, showing a </t>
    </r>
    <r>
      <rPr>
        <b/>
        <sz val="16"/>
        <color theme="1"/>
        <rFont val="Aptos Narrow"/>
        <family val="2"/>
        <scheme val="minor"/>
      </rPr>
      <t>strong positive linear relationship</t>
    </r>
    <r>
      <rPr>
        <sz val="16"/>
        <color theme="1"/>
        <rFont val="Aptos Narrow"/>
        <family val="2"/>
        <scheme val="minor"/>
      </rPr>
      <t xml:space="preserve"> between hours studied and marks obtained.</t>
    </r>
  </si>
  <si>
    <t>Conclusion</t>
  </si>
  <si>
    <t>As the number of hours studied increases, marks obtained also increase.</t>
  </si>
  <si>
    <t>Therefore, there exists a strong positive relationship between the two variables.</t>
  </si>
  <si>
    <t>Q4) Compute Covariance and Correlation in Excel without using inbuilt formula and thus match with previous result.</t>
  </si>
  <si>
    <t>Mean of X:</t>
  </si>
  <si>
    <t>Mean of Y:</t>
  </si>
  <si>
    <t xml:space="preserve">X-Xbar </t>
  </si>
  <si>
    <t>Y-Ybar</t>
  </si>
  <si>
    <t>(X-Xbar)(Y-Ybar)</t>
  </si>
  <si>
    <t>SUM:</t>
  </si>
  <si>
    <t>Result:</t>
  </si>
  <si>
    <t>Measure</t>
  </si>
  <si>
    <t>Value</t>
  </si>
  <si>
    <t xml:space="preserve">Correlation </t>
  </si>
  <si>
    <t>Manual computation verifies the accuracy of inbuilt Excel functions.</t>
  </si>
  <si>
    <r>
      <t xml:space="preserve">There exists a </t>
    </r>
    <r>
      <rPr>
        <b/>
        <sz val="18"/>
        <color theme="1"/>
        <rFont val="Aptos Narrow"/>
        <family val="2"/>
        <scheme val="minor"/>
      </rPr>
      <t>perfect positive linear relationship</t>
    </r>
    <r>
      <rPr>
        <sz val="18"/>
        <color theme="1"/>
        <rFont val="Aptos Narrow"/>
        <family val="2"/>
        <scheme val="minor"/>
      </rPr>
      <t xml:space="preserve"> between X and 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</si>
</sst>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9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7945-318A-4A6D-BE9C-CFA84DF8B6BF}">
  <dimension ref="A1:L29"/>
  <sheetViews>
    <sheetView tabSelected="1" topLeftCell="A24" workbookViewId="0">
      <selection activeCell="D9" sqref="D9"/>
    </sheetView>
  </sheetViews>
  <sheetFormatPr defaultRowHeight="14.4" x14ac:dyDescent="0.3"/>
  <cols>
    <col min="4" max="4" width="10.77734375" customWidth="1"/>
  </cols>
  <sheetData>
    <row r="1" spans="1:5" ht="36.6" x14ac:dyDescent="0.7">
      <c r="A1" s="1" t="s">
        <v>0</v>
      </c>
    </row>
    <row r="3" spans="1:5" ht="25.8" x14ac:dyDescent="0.5">
      <c r="A3" s="2" t="s">
        <v>1</v>
      </c>
    </row>
    <row r="6" spans="1:5" ht="72" x14ac:dyDescent="0.3">
      <c r="A6" s="3" t="s">
        <v>2</v>
      </c>
      <c r="B6" s="3" t="s">
        <v>3</v>
      </c>
    </row>
    <row r="7" spans="1:5" ht="18" x14ac:dyDescent="0.3">
      <c r="A7" s="4">
        <v>2</v>
      </c>
      <c r="B7" s="4">
        <v>40</v>
      </c>
      <c r="D7" s="19" t="s">
        <v>5</v>
      </c>
      <c r="E7">
        <f>_xlfn.COVARIANCE.S(A7:A11,B7:B11)</f>
        <v>25</v>
      </c>
    </row>
    <row r="8" spans="1:5" ht="18" x14ac:dyDescent="0.3">
      <c r="A8" s="4">
        <v>4</v>
      </c>
      <c r="B8" s="4">
        <v>45</v>
      </c>
    </row>
    <row r="9" spans="1:5" ht="18" x14ac:dyDescent="0.3">
      <c r="A9" s="4">
        <v>6</v>
      </c>
      <c r="B9" s="4">
        <v>50</v>
      </c>
      <c r="D9" s="19" t="s">
        <v>6</v>
      </c>
      <c r="E9">
        <f>CORREL(A7:A11,B7:B11)</f>
        <v>0.99999999999999978</v>
      </c>
    </row>
    <row r="10" spans="1:5" ht="18" x14ac:dyDescent="0.3">
      <c r="A10" s="4">
        <v>8</v>
      </c>
      <c r="B10" s="4">
        <v>55</v>
      </c>
    </row>
    <row r="11" spans="1:5" ht="18" x14ac:dyDescent="0.3">
      <c r="A11" s="4">
        <v>10</v>
      </c>
      <c r="B11" s="4">
        <v>60</v>
      </c>
    </row>
    <row r="14" spans="1:5" ht="21" x14ac:dyDescent="0.3">
      <c r="A14" s="9" t="s">
        <v>7</v>
      </c>
    </row>
    <row r="15" spans="1:5" ht="21" x14ac:dyDescent="0.3">
      <c r="A15" s="10"/>
    </row>
    <row r="16" spans="1:5" ht="21" x14ac:dyDescent="0.3">
      <c r="A16" s="11" t="s">
        <v>8</v>
      </c>
    </row>
    <row r="17" spans="1:12" ht="21" x14ac:dyDescent="0.3">
      <c r="A17" s="10"/>
    </row>
    <row r="18" spans="1:12" ht="21" x14ac:dyDescent="0.3">
      <c r="A18" s="11" t="s">
        <v>9</v>
      </c>
    </row>
    <row r="21" spans="1:12" ht="25.8" x14ac:dyDescent="0.5">
      <c r="A21" s="18" t="s">
        <v>10</v>
      </c>
      <c r="B21" s="8"/>
      <c r="C21" s="8"/>
    </row>
    <row r="23" spans="1:12" ht="21" x14ac:dyDescent="0.4">
      <c r="A23" s="12" t="s">
        <v>11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21" x14ac:dyDescent="0.4">
      <c r="A24" s="12" t="s">
        <v>12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6" spans="1:12" ht="23.4" x14ac:dyDescent="0.3">
      <c r="A26" s="6" t="s">
        <v>13</v>
      </c>
    </row>
    <row r="27" spans="1:12" x14ac:dyDescent="0.3">
      <c r="A27" s="7"/>
    </row>
    <row r="28" spans="1:12" ht="23.4" x14ac:dyDescent="0.45">
      <c r="A28" s="13" t="s">
        <v>14</v>
      </c>
      <c r="B28" s="14"/>
      <c r="C28" s="14"/>
      <c r="D28" s="14"/>
      <c r="E28" s="14"/>
      <c r="F28" s="14"/>
      <c r="G28" s="14"/>
      <c r="H28" s="14"/>
    </row>
    <row r="29" spans="1:12" ht="23.4" x14ac:dyDescent="0.45">
      <c r="A29" s="13" t="s">
        <v>15</v>
      </c>
      <c r="B29" s="14"/>
      <c r="C29" s="14"/>
      <c r="D29" s="14"/>
      <c r="E29" s="14"/>
      <c r="F29" s="14"/>
      <c r="G29" s="14"/>
      <c r="H2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6BAE-9EE9-40DA-BC67-DD4C156A73CB}">
  <dimension ref="A1:I26"/>
  <sheetViews>
    <sheetView topLeftCell="A14" workbookViewId="0">
      <selection activeCell="A23" sqref="A23"/>
    </sheetView>
  </sheetViews>
  <sheetFormatPr defaultRowHeight="14.4" x14ac:dyDescent="0.3"/>
  <cols>
    <col min="1" max="1" width="13.21875" customWidth="1"/>
    <col min="5" max="5" width="17.21875" customWidth="1"/>
    <col min="7" max="7" width="16.33203125" customWidth="1"/>
  </cols>
  <sheetData>
    <row r="1" spans="1:8" ht="25.8" x14ac:dyDescent="0.5">
      <c r="A1" s="2" t="s">
        <v>16</v>
      </c>
    </row>
    <row r="3" spans="1:8" ht="72" x14ac:dyDescent="0.4">
      <c r="A3" s="3" t="s">
        <v>2</v>
      </c>
      <c r="B3" s="3" t="s">
        <v>3</v>
      </c>
      <c r="C3" s="16" t="s">
        <v>19</v>
      </c>
      <c r="D3" s="16" t="s">
        <v>20</v>
      </c>
      <c r="E3" s="17" t="s">
        <v>21</v>
      </c>
    </row>
    <row r="4" spans="1:8" ht="18" x14ac:dyDescent="0.3">
      <c r="A4" s="4">
        <v>2</v>
      </c>
      <c r="B4" s="4">
        <v>40</v>
      </c>
      <c r="C4">
        <f>A4-$A$10</f>
        <v>-4</v>
      </c>
      <c r="D4">
        <f>B4-$B$10</f>
        <v>-10</v>
      </c>
      <c r="E4">
        <f>C4*D4</f>
        <v>40</v>
      </c>
    </row>
    <row r="5" spans="1:8" ht="18" x14ac:dyDescent="0.3">
      <c r="A5" s="4">
        <v>4</v>
      </c>
      <c r="B5" s="4">
        <v>45</v>
      </c>
      <c r="C5">
        <f t="shared" ref="C5:C8" si="0">A5-$A$10</f>
        <v>-2</v>
      </c>
      <c r="D5">
        <f t="shared" ref="D5:D8" si="1">B5-$B$10</f>
        <v>-5</v>
      </c>
      <c r="E5">
        <f t="shared" ref="E5:E8" si="2">C5*D5</f>
        <v>10</v>
      </c>
    </row>
    <row r="6" spans="1:8" ht="18" x14ac:dyDescent="0.3">
      <c r="A6" s="4">
        <v>6</v>
      </c>
      <c r="B6" s="4">
        <v>50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ht="18" x14ac:dyDescent="0.3">
      <c r="A7" s="4">
        <v>8</v>
      </c>
      <c r="B7" s="4">
        <v>55</v>
      </c>
      <c r="C7">
        <f t="shared" si="0"/>
        <v>2</v>
      </c>
      <c r="D7">
        <f t="shared" si="1"/>
        <v>5</v>
      </c>
      <c r="E7">
        <f t="shared" si="2"/>
        <v>10</v>
      </c>
    </row>
    <row r="8" spans="1:8" ht="18" x14ac:dyDescent="0.3">
      <c r="A8" s="4">
        <v>10</v>
      </c>
      <c r="B8" s="4">
        <v>60</v>
      </c>
      <c r="C8">
        <f t="shared" si="0"/>
        <v>4</v>
      </c>
      <c r="D8">
        <f t="shared" si="1"/>
        <v>10</v>
      </c>
      <c r="E8">
        <f t="shared" si="2"/>
        <v>40</v>
      </c>
    </row>
    <row r="10" spans="1:8" x14ac:dyDescent="0.3">
      <c r="A10">
        <f>AVERAGE(A4:A8)</f>
        <v>6</v>
      </c>
      <c r="B10">
        <f>AVERAGE(B4:B8)</f>
        <v>50</v>
      </c>
      <c r="D10" s="8" t="s">
        <v>22</v>
      </c>
      <c r="E10">
        <f>SUM(E4:E8)</f>
        <v>100</v>
      </c>
    </row>
    <row r="13" spans="1:8" ht="18" x14ac:dyDescent="0.35">
      <c r="A13" s="8" t="s">
        <v>17</v>
      </c>
      <c r="B13">
        <f>AVERAGE(A4:A8)</f>
        <v>6</v>
      </c>
      <c r="G13" s="17" t="s">
        <v>5</v>
      </c>
      <c r="H13" s="5">
        <f>SUM(E4:E8)/(COUNT(A4:A8)-1)</f>
        <v>25</v>
      </c>
    </row>
    <row r="14" spans="1:8" ht="18" x14ac:dyDescent="0.35">
      <c r="A14" s="8" t="s">
        <v>18</v>
      </c>
      <c r="B14">
        <f>AVERAGE(B4:B8)</f>
        <v>50</v>
      </c>
      <c r="G14" s="17" t="s">
        <v>6</v>
      </c>
      <c r="H14" s="5">
        <f>CORREL(A4:A8,B4:B8)</f>
        <v>0.99999999999999978</v>
      </c>
    </row>
    <row r="17" spans="1:9" ht="21" x14ac:dyDescent="0.4">
      <c r="A17" s="16" t="s">
        <v>23</v>
      </c>
    </row>
    <row r="18" spans="1:9" ht="18" x14ac:dyDescent="0.3">
      <c r="A18" s="3" t="s">
        <v>24</v>
      </c>
      <c r="B18" s="3" t="s">
        <v>25</v>
      </c>
    </row>
    <row r="19" spans="1:9" ht="18" x14ac:dyDescent="0.3">
      <c r="A19" s="4" t="s">
        <v>4</v>
      </c>
      <c r="B19" s="15">
        <v>25</v>
      </c>
    </row>
    <row r="20" spans="1:9" ht="18" x14ac:dyDescent="0.35">
      <c r="A20" s="5" t="s">
        <v>26</v>
      </c>
      <c r="B20" s="5">
        <v>1</v>
      </c>
    </row>
    <row r="23" spans="1:9" ht="21" x14ac:dyDescent="0.4">
      <c r="A23" s="16" t="s">
        <v>13</v>
      </c>
    </row>
    <row r="25" spans="1:9" ht="23.4" x14ac:dyDescent="0.45">
      <c r="A25" s="14" t="s">
        <v>28</v>
      </c>
      <c r="B25" s="14"/>
      <c r="C25" s="14"/>
      <c r="D25" s="14"/>
      <c r="E25" s="14"/>
      <c r="F25" s="14"/>
      <c r="G25" s="14"/>
      <c r="H25" s="14"/>
      <c r="I25" s="14"/>
    </row>
    <row r="26" spans="1:9" ht="23.4" x14ac:dyDescent="0.45">
      <c r="A26" s="14" t="s">
        <v>27</v>
      </c>
      <c r="B26" s="14"/>
      <c r="C26" s="14"/>
      <c r="D26" s="14"/>
      <c r="E26" s="14"/>
      <c r="F26" s="14"/>
      <c r="G26" s="14"/>
      <c r="H26" s="14"/>
      <c r="I2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Q3)</vt:lpstr>
      <vt:lpstr>Q4)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panorekar</cp:lastModifiedBy>
  <dcterms:created xsi:type="dcterms:W3CDTF">2026-01-13T06:31:54Z</dcterms:created>
  <dcterms:modified xsi:type="dcterms:W3CDTF">2026-01-22T05:09:03Z</dcterms:modified>
</cp:coreProperties>
</file>